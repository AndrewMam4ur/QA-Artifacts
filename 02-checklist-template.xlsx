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" sheetId="1" state="visible" r:id="rId3"/>
    <sheet name="Сводка" sheetId="2" state="visible" r:id="rId4"/>
    <sheet name="Памят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Порядковый номер проверки.
В отличие от ID тест-кейса, номер в чек-листе не обязан быть постоянным: чек-лист — живой документ, пункты добавляют и удаляют.
Нужен как ориентир в обсуждении: «упал пункт 14».</t>
        </r>
      </text>
    </comment>
    <comment ref="B1" authorId="0">
      <text>
        <r>
          <rPr>
            <sz val="10"/>
            <rFont val="Arial"/>
            <family val="2"/>
          </rPr>
          <t xml:space="preserve">Группа проверок: Smoke, Авторизация, Корзина, Оформление заказа.
Позволяет прогонять чек-лист частями и фильтровать.
Хорошая практика — выносить смоук-проверки в отдельный раздел в самом начале: их прогоняют первыми и на каждую новую сборку.</t>
        </r>
      </text>
    </comment>
    <comment ref="C1" authorId="0">
      <text>
        <r>
          <rPr>
            <sz val="10"/>
            <rFont val="Arial"/>
            <family val="2"/>
          </rPr>
          <t xml:space="preserve">Что именно проверяем. Одна строка — одна проверка.
ГЛАВНОЕ ПРАВИЛО: формулируй как проверку, а не как существительное.
Плохо: «Авторизация».
Хорошо: «Вход с валидными данными», «Вход с неверным паролем», «Вход с пустыми полями».
Чек-лист говорит ЧТО проверить, но не КАК — шагов здесь нет, исполнитель сам знает продукт. Поэтому чек-листы быстрее кейсов, но менее понятны новичку.</t>
        </r>
      </text>
    </comment>
    <comment ref="D1" authorId="0">
      <text>
        <r>
          <rPr>
            <sz val="10"/>
            <rFont val="Arial"/>
            <family val="2"/>
          </rPr>
          <t xml:space="preserve">Важность проверки: Critical, High, Medium, Low. Выпадающий список.
Когда на регресс дали полдня вместо двух, прогоняешь сверху вниз по приоритету и честно пишешь в отчёте, что Low не проверены.
Смоук-проверки всегда Critical.</t>
        </r>
      </text>
    </comment>
    <comment ref="E1" authorId="0">
      <text>
        <r>
          <rPr>
            <sz val="10"/>
            <rFont val="Arial"/>
            <family val="2"/>
          </rPr>
          <t xml:space="preserve">Результат проверки. Выпадающий список.
Not Run — ещё не проверено.
Passed — работает как ожидается.
Failed — найден дефект.
Blocked — проверить невозможно из-за другой проблемы.
N/A — неприменимо к этой сборке или окружению, например мобильная проверка на десктопном прогоне.
При Failed пиши номер заведённого бага в «Комментарий», чтобы связь не потерялась.</t>
        </r>
      </text>
    </comment>
    <comment ref="F1" authorId="0">
      <text>
        <r>
          <rPr>
            <sz val="10"/>
            <rFont val="Arial"/>
            <family val="2"/>
          </rPr>
          <t xml:space="preserve">Где проверяли: браузер с версией, ОС, устройство, стенд. Пример: Chrome 131 / Windows 11 / QA-стенд.
Важно, потому что баг может воспроизводиться в Safari и не воспроизводиться в Chrome.
Если весь чек-лист прогоняется в одном окружении, можно указать его один раз, а не в каждой строке.</t>
        </r>
      </text>
    </comment>
    <comment ref="G1" authorId="0">
      <text>
        <r>
          <rPr>
            <sz val="10"/>
            <rFont val="Arial"/>
            <family val="2"/>
          </rPr>
          <t xml:space="preserve">Когда проверка выполнена.
Помогает понять свежесть результата: Passed двухнедельной давности на активно меняющемся модуле ничего не гарантирует.</t>
        </r>
      </text>
    </comment>
    <comment ref="H1" authorId="0">
      <text>
        <r>
          <rPr>
            <sz val="10"/>
            <rFont val="Arial"/>
            <family val="2"/>
          </rPr>
          <t xml:space="preserve">Номер бага при Failed, причина Blocked, уточнение условий проверки.
Коротко. Развёрнутое описание проблемы живёт в баг-репорте, а не здесь.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Сколько пунктов в чек-листе. Считает заполненные проверки, начиная с третьей строки.</t>
        </r>
      </text>
    </comment>
    <comment ref="A3" authorId="0">
      <text>
        <r>
          <rPr>
            <sz val="10"/>
            <rFont val="Arial"/>
            <family val="2"/>
          </rPr>
          <t xml:space="preserve">Сколько проверок прошли успешно.</t>
        </r>
      </text>
    </comment>
    <comment ref="A4" authorId="0">
      <text>
        <r>
          <rPr>
            <sz val="10"/>
            <rFont val="Arial"/>
            <family val="2"/>
          </rPr>
          <t xml:space="preserve">Сколько проверок выявили дефект. На каждую — заведённый баг с номером в комментарии.</t>
        </r>
      </text>
    </comment>
    <comment ref="A5" authorId="0">
      <text>
        <r>
          <rPr>
            <sz val="10"/>
            <rFont val="Arial"/>
            <family val="2"/>
          </rPr>
          <t xml:space="preserve">Сколько проверок невозможно выполнить. Если их много — тестирование пора ставить на паузу.</t>
        </r>
      </text>
    </comment>
    <comment ref="A6" authorId="0">
      <text>
        <r>
          <rPr>
            <sz val="10"/>
            <rFont val="Arial"/>
            <family val="2"/>
          </rPr>
          <t xml:space="preserve">Сколько ещё не проверено.</t>
        </r>
      </text>
    </comment>
    <comment ref="A7" authorId="0">
      <text>
        <r>
          <rPr>
            <sz val="10"/>
            <rFont val="Arial"/>
            <family val="2"/>
          </rPr>
          <t xml:space="preserve">Доля успешных проверок среди выполненных: Passed делить на (всего минус Not Run). Показывает качество проверенной части, а не объём сделанной работы.</t>
        </r>
      </text>
    </comment>
  </commentList>
</comments>
</file>

<file path=xl/sharedStrings.xml><?xml version="1.0" encoding="utf-8"?>
<sst xmlns="http://schemas.openxmlformats.org/spreadsheetml/2006/main" count="90" uniqueCount="57">
  <si>
    <t xml:space="preserve">№</t>
  </si>
  <si>
    <t xml:space="preserve">Раздел</t>
  </si>
  <si>
    <t xml:space="preserve">Проверка</t>
  </si>
  <si>
    <t xml:space="preserve">Приоритет</t>
  </si>
  <si>
    <t xml:space="preserve">Статус</t>
  </si>
  <si>
    <t xml:space="preserve">Окружение</t>
  </si>
  <si>
    <t xml:space="preserve">Дата</t>
  </si>
  <si>
    <t xml:space="preserve">Комментарий</t>
  </si>
  <si>
    <t xml:space="preserve">Порядковый номер проверки.
В отличие от ID тест-кейса, номер в чек-листе не обязан быть постоянным: чек-лист — живой документ, пункты добавляют и удаляют.
Нужен как ориентир в обсуждении: «упал пункт 14».</t>
  </si>
  <si>
    <t xml:space="preserve">Группа проверок: Smoke, Авторизация, Корзина, Оформление заказа.
Позволяет прогонять чек-лист частями и фильтровать.
Хорошая практика — выносить смоук-проверки в отдельный раздел в самом начале: их прогоняют первыми и на каждую новую сборку.</t>
  </si>
  <si>
    <t xml:space="preserve">Что именно проверяем. Одна строка — одна проверка.
ГЛАВНОЕ ПРАВИЛО: формулируй как проверку, а не как существительное.
Плохо: «Авторизация».
Хорошо: «Вход с валидными данными», «Вход с неверным паролем», «Вход с пустыми полями».
Чек-лист говорит ЧТО проверить, но не КАК — шагов здесь нет, исполнитель сам знает продукт. Поэтому чек-листы быстрее кейсов, но менее понятны новичку.</t>
  </si>
  <si>
    <t xml:space="preserve">Важность проверки: Critical, High, Medium, Low. Выпадающий список.
Когда на регресс дали полдня вместо двух, прогоняешь сверху вниз по приоритету и честно пишешь в отчёте, что Low не проверены.
Смоук-проверки всегда Critical.</t>
  </si>
  <si>
    <t xml:space="preserve">Результат проверки. Выпадающий список.
Not Run — ещё не проверено.
Passed — работает как ожидается.
Failed — найден дефект.
Blocked — проверить невозможно из-за другой проблемы.
N/A — неприменимо к этой сборке или окружению, например мобильная проверка на десктопном прогоне.
При Failed пиши номер заведённого бага в «Комментарий», чтобы связь не потерялась.</t>
  </si>
  <si>
    <t xml:space="preserve">Где проверяли: браузер с версией, ОС, устройство, стенд. Пример: Chrome 131 / Windows 11 / QA-стенд.
Важно, потому что баг может воспроизводиться в Safari и не воспроизводиться в Chrome.
Если весь чек-лист прогоняется в одном окружении, можно указать его один раз, а не в каждой строке.</t>
  </si>
  <si>
    <t xml:space="preserve">Когда проверка выполнена.
Помогает понять свежесть результата: Passed двухнедельной давности на активно меняющемся модуле ничего не гарантирует.</t>
  </si>
  <si>
    <t xml:space="preserve">Номер бага при Failed, причина Blocked, уточнение условий проверки.
Коротко. Развёрнутое описание проблемы живёт в баг-репорте, а не здесь.</t>
  </si>
  <si>
    <t xml:space="preserve">Smoke</t>
  </si>
  <si>
    <t xml:space="preserve">Главная страница открывается без ошибок</t>
  </si>
  <si>
    <t xml:space="preserve">Critical</t>
  </si>
  <si>
    <t xml:space="preserve">Not Run</t>
  </si>
  <si>
    <t xml:space="preserve">Chrome 131 / Windows 11</t>
  </si>
  <si>
    <t xml:space="preserve">2026-09-25</t>
  </si>
  <si>
    <t xml:space="preserve">Вход с валидными данными выполняется</t>
  </si>
  <si>
    <t xml:space="preserve">Товар добавляется в корзину</t>
  </si>
  <si>
    <t xml:space="preserve">Корзина открывается, количество товара меняется</t>
  </si>
  <si>
    <t xml:space="preserve">Страница оформления заказа открывается</t>
  </si>
  <si>
    <t xml:space="preserve">Авторизация</t>
  </si>
  <si>
    <t xml:space="preserve">Вход с неверным паролем: показана понятная ошибка</t>
  </si>
  <si>
    <t xml:space="preserve">High</t>
  </si>
  <si>
    <t xml:space="preserve">Негативная</t>
  </si>
  <si>
    <t xml:space="preserve">Вход с пустыми полями: показана ошибка валидации</t>
  </si>
  <si>
    <t xml:space="preserve">Выход из аккаунта завершает сессию</t>
  </si>
  <si>
    <t xml:space="preserve">Medium</t>
  </si>
  <si>
    <t xml:space="preserve">Корзина</t>
  </si>
  <si>
    <t xml:space="preserve">Удаление товара из корзины обновляет сумму</t>
  </si>
  <si>
    <t xml:space="preserve">Корзина сохраняется после перезагрузки страницы</t>
  </si>
  <si>
    <t xml:space="preserve">Показатель</t>
  </si>
  <si>
    <t xml:space="preserve">Значение</t>
  </si>
  <si>
    <t xml:space="preserve">Всего проверок</t>
  </si>
  <si>
    <t xml:space="preserve">Passed</t>
  </si>
  <si>
    <t xml:space="preserve">Failed</t>
  </si>
  <si>
    <t xml:space="preserve">Blocked</t>
  </si>
  <si>
    <t xml:space="preserve">Пройдено, %</t>
  </si>
  <si>
    <t xml:space="preserve">Как показать и скрыть подсказки</t>
  </si>
  <si>
    <t xml:space="preserve">Способ 1. Слева от строки заголовков есть кнопка [+]. Нажми её — под заголовками раскроется строка с подробной подсказкой к каждой колонке. Кнопка [−] сворачивает строку обратно.</t>
  </si>
  <si>
    <t xml:space="preserve">Если кнопку не видно: вкладка «Данные» → группа «Структура» → «Показать детали». Или кнопки уровней 1 и 2 в левом верхнем углу листа.</t>
  </si>
  <si>
    <t xml:space="preserve">Способ 2. Наведи курсор на заголовок любой колонки — всплывёт та же подсказка. Показать все сразу: вкладка «Рецензирование» → «Показать все примечания».</t>
  </si>
  <si>
    <t xml:space="preserve">Подсказки не мешают фильтрам и формулам: данные начинаются с третьей строки.</t>
  </si>
  <si>
    <t xml:space="preserve">Как заполнять шаблон</t>
  </si>
  <si>
    <t xml:space="preserve">Строки 3–12 — примеры, подсвечены голубым. Удали их перед работой.</t>
  </si>
  <si>
    <t xml:space="preserve">Чем чек-лист отличается от тест-кейса</t>
  </si>
  <si>
    <t xml:space="preserve">Чек-лист отвечает на вопрос ЧТО проверить. Тест-кейс — на вопрос КАК проверить. В этом вся разница, а не в объёме.</t>
  </si>
  <si>
    <t xml:space="preserve">Когда использовать чек-лист вместо кейсов</t>
  </si>
  <si>
    <t xml:space="preserve">— смоук и регресс знакомого функционала</t>
  </si>
  <si>
    <t xml:space="preserve">— быстро меняющийся продукт, где кейсы дорого поддерживать</t>
  </si>
  <si>
    <t xml:space="preserve">— опытная команда, которой не нужны пошаговые инструкции</t>
  </si>
  <si>
    <t xml:space="preserve">Кейсы пишут там, где цена ошибки высока: банки, медицина, госсистемы.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</si>
</sst>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color rgb="FF1F5C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3FA"/>
        <bgColor rgb="FFEAF1F8"/>
      </patternFill>
    </fill>
    <fill>
      <patternFill patternType="solid">
        <fgColor rgb="FFEAF1F8"/>
        <bgColor rgb="FFEA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AF3FA"/>
      <rgbColor rgb="FF660066"/>
      <rgbColor rgb="FFFF8080"/>
      <rgbColor rgb="FF1F5C8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H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07.5" hidden="true" customHeight="true" outlineLevel="1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1.75" hidden="false" customHeight="true" outlineLevel="0" collapsed="false">
      <c r="A3" s="3" t="n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/>
    </row>
    <row r="4" customFormat="false" ht="21.75" hidden="false" customHeight="true" outlineLevel="0" collapsed="false">
      <c r="A4" s="3" t="n">
        <v>2</v>
      </c>
      <c r="B4" s="3" t="s">
        <v>16</v>
      </c>
      <c r="C4" s="3" t="s">
        <v>22</v>
      </c>
      <c r="D4" s="3" t="s">
        <v>18</v>
      </c>
      <c r="E4" s="3" t="s">
        <v>19</v>
      </c>
      <c r="F4" s="3" t="s">
        <v>20</v>
      </c>
      <c r="G4" s="3" t="s">
        <v>21</v>
      </c>
      <c r="H4" s="3"/>
    </row>
    <row r="5" customFormat="false" ht="21.75" hidden="false" customHeight="true" outlineLevel="0" collapsed="false">
      <c r="A5" s="3" t="n">
        <v>3</v>
      </c>
      <c r="B5" s="3" t="s">
        <v>16</v>
      </c>
      <c r="C5" s="3" t="s">
        <v>23</v>
      </c>
      <c r="D5" s="3" t="s">
        <v>18</v>
      </c>
      <c r="E5" s="3" t="s">
        <v>19</v>
      </c>
      <c r="F5" s="3" t="s">
        <v>20</v>
      </c>
      <c r="G5" s="3" t="s">
        <v>21</v>
      </c>
      <c r="H5" s="3"/>
    </row>
    <row r="6" customFormat="false" ht="21.75" hidden="false" customHeight="true" outlineLevel="0" collapsed="false">
      <c r="A6" s="3" t="n">
        <v>4</v>
      </c>
      <c r="B6" s="3" t="s">
        <v>16</v>
      </c>
      <c r="C6" s="3" t="s">
        <v>24</v>
      </c>
      <c r="D6" s="3" t="s">
        <v>18</v>
      </c>
      <c r="E6" s="3" t="s">
        <v>19</v>
      </c>
      <c r="F6" s="3" t="s">
        <v>20</v>
      </c>
      <c r="G6" s="3" t="s">
        <v>21</v>
      </c>
      <c r="H6" s="3"/>
    </row>
    <row r="7" customFormat="false" ht="21.75" hidden="false" customHeight="true" outlineLevel="0" collapsed="false">
      <c r="A7" s="3" t="n">
        <v>5</v>
      </c>
      <c r="B7" s="3" t="s">
        <v>16</v>
      </c>
      <c r="C7" s="3" t="s">
        <v>25</v>
      </c>
      <c r="D7" s="3" t="s">
        <v>18</v>
      </c>
      <c r="E7" s="3" t="s">
        <v>19</v>
      </c>
      <c r="F7" s="3" t="s">
        <v>20</v>
      </c>
      <c r="G7" s="3" t="s">
        <v>21</v>
      </c>
      <c r="H7" s="3"/>
    </row>
    <row r="8" customFormat="false" ht="21.75" hidden="false" customHeight="true" outlineLevel="0" collapsed="false">
      <c r="A8" s="3" t="n">
        <v>6</v>
      </c>
      <c r="B8" s="3" t="s">
        <v>26</v>
      </c>
      <c r="C8" s="3" t="s">
        <v>27</v>
      </c>
      <c r="D8" s="3" t="s">
        <v>28</v>
      </c>
      <c r="E8" s="3" t="s">
        <v>19</v>
      </c>
      <c r="F8" s="3"/>
      <c r="G8" s="3"/>
      <c r="H8" s="3" t="s">
        <v>29</v>
      </c>
    </row>
    <row r="9" customFormat="false" ht="21.75" hidden="false" customHeight="true" outlineLevel="0" collapsed="false">
      <c r="A9" s="3" t="n">
        <v>7</v>
      </c>
      <c r="B9" s="3" t="s">
        <v>26</v>
      </c>
      <c r="C9" s="3" t="s">
        <v>30</v>
      </c>
      <c r="D9" s="3" t="s">
        <v>28</v>
      </c>
      <c r="E9" s="3" t="s">
        <v>19</v>
      </c>
      <c r="F9" s="3"/>
      <c r="G9" s="3"/>
      <c r="H9" s="3" t="s">
        <v>29</v>
      </c>
    </row>
    <row r="10" customFormat="false" ht="21.75" hidden="false" customHeight="true" outlineLevel="0" collapsed="false">
      <c r="A10" s="3" t="n">
        <v>8</v>
      </c>
      <c r="B10" s="3" t="s">
        <v>26</v>
      </c>
      <c r="C10" s="3" t="s">
        <v>31</v>
      </c>
      <c r="D10" s="3" t="s">
        <v>32</v>
      </c>
      <c r="E10" s="3" t="s">
        <v>19</v>
      </c>
      <c r="F10" s="3"/>
      <c r="G10" s="3"/>
      <c r="H10" s="3"/>
    </row>
    <row r="11" customFormat="false" ht="21.75" hidden="false" customHeight="true" outlineLevel="0" collapsed="false">
      <c r="A11" s="3" t="n">
        <v>9</v>
      </c>
      <c r="B11" s="3" t="s">
        <v>33</v>
      </c>
      <c r="C11" s="3" t="s">
        <v>34</v>
      </c>
      <c r="D11" s="3" t="s">
        <v>28</v>
      </c>
      <c r="E11" s="3" t="s">
        <v>19</v>
      </c>
      <c r="F11" s="3"/>
      <c r="G11" s="3"/>
      <c r="H11" s="3"/>
    </row>
    <row r="12" customFormat="false" ht="21.75" hidden="false" customHeight="true" outlineLevel="0" collapsed="false">
      <c r="A12" s="3" t="n">
        <v>10</v>
      </c>
      <c r="B12" s="3" t="s">
        <v>33</v>
      </c>
      <c r="C12" s="3" t="s">
        <v>35</v>
      </c>
      <c r="D12" s="3" t="s">
        <v>32</v>
      </c>
      <c r="E12" s="3" t="s">
        <v>19</v>
      </c>
      <c r="F12" s="3"/>
      <c r="G12" s="3"/>
      <c r="H12" s="3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21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21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1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21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21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1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1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1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21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21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21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21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21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21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21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21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21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21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21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21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21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21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21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21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21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21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21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21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21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21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21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21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21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21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21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21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21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21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21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21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21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21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21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21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21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21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21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21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21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21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21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21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21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21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21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21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21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21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21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21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21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21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21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21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21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21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21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21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21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21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21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21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21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21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21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21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21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21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21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21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21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21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21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21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21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21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21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21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21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21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21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21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21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21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21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21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21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21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21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21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21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21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</sheetData>
  <dataValidations count="2">
    <dataValidation allowBlank="true" errorStyle="stop" operator="between" showDropDown="false" showErrorMessage="false" showInputMessage="false" sqref="E3:E300" type="list">
      <formula1>"Not Run,Passed,Failed,Blocked,N/A"</formula1>
      <formula2>0</formula2>
    </dataValidation>
    <dataValidation allowBlank="true" errorStyle="stop" operator="between" showDropDown="false" showErrorMessage="false" showInputMessage="false" sqref="D3:D300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36</v>
      </c>
      <c r="B1" s="1" t="s">
        <v>37</v>
      </c>
    </row>
    <row r="2" customFormat="false" ht="15" hidden="false" customHeight="false" outlineLevel="0" collapsed="false">
      <c r="A2" s="5" t="s">
        <v>38</v>
      </c>
      <c r="B2" s="6" t="n">
        <f aca="false">COUNTA('Чек-лист'!C3:C300)</f>
        <v>10</v>
      </c>
    </row>
    <row r="3" customFormat="false" ht="15" hidden="false" customHeight="false" outlineLevel="0" collapsed="false">
      <c r="A3" s="5" t="s">
        <v>39</v>
      </c>
      <c r="B3" s="6" t="n">
        <f aca="false">COUNTIF('Чек-лист'!E3:E300,"Passed")</f>
        <v>0</v>
      </c>
    </row>
    <row r="4" customFormat="false" ht="15" hidden="false" customHeight="false" outlineLevel="0" collapsed="false">
      <c r="A4" s="5" t="s">
        <v>40</v>
      </c>
      <c r="B4" s="6" t="n">
        <f aca="false">COUNTIF('Чек-лист'!E3:E300,"Failed")</f>
        <v>0</v>
      </c>
    </row>
    <row r="5" customFormat="false" ht="15" hidden="false" customHeight="false" outlineLevel="0" collapsed="false">
      <c r="A5" s="5" t="s">
        <v>41</v>
      </c>
      <c r="B5" s="6" t="n">
        <f aca="false">COUNTIF('Чек-лист'!E3:E300,"Blocked")</f>
        <v>0</v>
      </c>
    </row>
    <row r="6" customFormat="false" ht="15" hidden="false" customHeight="false" outlineLevel="0" collapsed="false">
      <c r="A6" s="5" t="s">
        <v>19</v>
      </c>
      <c r="B6" s="6" t="n">
        <f aca="false">COUNTIF('Чек-лист'!E3:E300,"Not Run")</f>
        <v>10</v>
      </c>
    </row>
    <row r="7" customFormat="false" ht="15" hidden="false" customHeight="false" outlineLevel="0" collapsed="false">
      <c r="A7" s="5" t="s">
        <v>42</v>
      </c>
      <c r="B7" s="7" t="n">
        <f aca="false">IFERROR(B3/(B2-B6),0)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5"/>
  </cols>
  <sheetData>
    <row r="1" customFormat="false" ht="15" hidden="false" customHeight="false" outlineLevel="0" collapsed="false">
      <c r="B1" s="8" t="s">
        <v>43</v>
      </c>
    </row>
    <row r="2" customFormat="false" ht="23.85" hidden="false" customHeight="false" outlineLevel="0" collapsed="false">
      <c r="B2" s="9" t="s">
        <v>44</v>
      </c>
    </row>
    <row r="3" customFormat="false" ht="23.85" hidden="false" customHeight="false" outlineLevel="0" collapsed="false">
      <c r="B3" s="9" t="s">
        <v>45</v>
      </c>
    </row>
    <row r="4" customFormat="false" ht="23.85" hidden="false" customHeight="false" outlineLevel="0" collapsed="false">
      <c r="B4" s="9" t="s">
        <v>46</v>
      </c>
    </row>
    <row r="5" customFormat="false" ht="15" hidden="false" customHeight="false" outlineLevel="0" collapsed="false">
      <c r="B5" s="9" t="s">
        <v>47</v>
      </c>
    </row>
    <row r="6" customFormat="false" ht="15" hidden="false" customHeight="false" outlineLevel="0" collapsed="false">
      <c r="B6" s="9"/>
    </row>
    <row r="7" customFormat="false" ht="15" hidden="false" customHeight="false" outlineLevel="0" collapsed="false">
      <c r="B7" s="8" t="s">
        <v>48</v>
      </c>
    </row>
    <row r="8" customFormat="false" ht="15" hidden="false" customHeight="false" outlineLevel="0" collapsed="false">
      <c r="B8" s="9" t="s">
        <v>49</v>
      </c>
    </row>
    <row r="9" customFormat="false" ht="15" hidden="false" customHeight="false" outlineLevel="0" collapsed="false">
      <c r="B9" s="9"/>
    </row>
    <row r="10" customFormat="false" ht="15" hidden="false" customHeight="false" outlineLevel="0" collapsed="false">
      <c r="B10" s="8" t="s">
        <v>50</v>
      </c>
    </row>
    <row r="11" customFormat="false" ht="15" hidden="false" customHeight="false" outlineLevel="0" collapsed="false">
      <c r="B11" s="9" t="s">
        <v>51</v>
      </c>
    </row>
    <row r="12" customFormat="false" ht="15" hidden="false" customHeight="false" outlineLevel="0" collapsed="false">
      <c r="B12" s="9"/>
    </row>
    <row r="13" customFormat="false" ht="15" hidden="false" customHeight="false" outlineLevel="0" collapsed="false">
      <c r="B13" s="8" t="s">
        <v>52</v>
      </c>
    </row>
    <row r="14" customFormat="false" ht="15" hidden="false" customHeight="false" outlineLevel="0" collapsed="false">
      <c r="B14" s="9" t="s">
        <v>53</v>
      </c>
    </row>
    <row r="15" customFormat="false" ht="15" hidden="false" customHeight="false" outlineLevel="0" collapsed="false">
      <c r="B15" s="9" t="s">
        <v>54</v>
      </c>
    </row>
    <row r="16" customFormat="false" ht="15" hidden="false" customHeight="false" outlineLevel="0" collapsed="false">
      <c r="B16" s="9" t="s">
        <v>55</v>
      </c>
    </row>
    <row r="17" customFormat="false" ht="15" hidden="false" customHeight="false" outlineLevel="0" collapsed="false">
      <c r="B17" s="9"/>
    </row>
    <row r="18" customFormat="false" ht="15" hidden="false" customHeight="false" outlineLevel="0" collapsed="false">
      <c r="B18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2026-09-25T13:33:08Z</dcterms:created>
  <dc:creator>openpyxl</dc:creator>
  <dc:description/>
  <dc:language>en-US</dc:language>
  <cp:lastModifiedBy/>
  <dcterms:modified xsi:type="dcterms:W3CDTF">2026-09-25T13:33:08Z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