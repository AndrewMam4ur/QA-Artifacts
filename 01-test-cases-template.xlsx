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ест-кейсы" sheetId="1" state="visible" r:id="rId3"/>
    <sheet name="Сводка" sheetId="2" state="visible" r:id="rId4"/>
    <sheet name="Памятк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Уникальный идентификатор кейса. По нему на кейс ссылаются из баг-репортов, отчётов и матрицы покрытия, поэтому ID никогда не меняют и не переиспользуют — даже если кейс удалён.
Формат: префикс + номер, TC-001. Можно добавить модуль: AUTH-001, CART-014 — тогда сразу видно, к чему относится кейс.</t>
        </r>
      </text>
    </comment>
    <comment ref="B1" authorId="0">
      <text>
        <r>
          <rPr>
            <sz val="10"/>
            <rFont val="Arial"/>
            <family val="2"/>
          </rPr>
          <t xml:space="preserve">Часть продукта, к которой относится проверка: Авторизация, Корзина, Оформление заказа.
Нужен для фильтрации: когда затронули оплату, ты за секунду отбираешь все кейсы модуля «Оплата» для targeted-регресса.
Держи список модулей единым для всей команды. «Корзина» и «корзина» Excel считает разными значениями — фильтр развалится.</t>
        </r>
      </text>
    </comment>
    <comment ref="C1" authorId="0">
      <text>
        <r>
          <rPr>
            <sz val="10"/>
            <rFont val="Arial"/>
            <family val="2"/>
          </rPr>
          <t xml:space="preserve">Суть проверки одной строкой. По нему должно быть понятно, что проверяет кейс, не открывая шаги.
Формула: ДЕЙСТВИЕ + УСЛОВИЕ. «Вход с неверным паролем», «Оформление заказа с пустым полем Телефон».
Плохо: «Проверка авторизации» — непонятно, какой сценарий. Плохо: «Тест 1».
Один заголовок — одна проверка.</t>
        </r>
      </text>
    </comment>
    <comment ref="D1" authorId="0">
      <text>
        <r>
          <rPr>
            <sz val="10"/>
            <rFont val="Arial"/>
            <family val="2"/>
          </rPr>
          <t xml:space="preserve">Насколько важно выполнить кейс. Определяет порядок прогона, когда времени мало.
Critical — без этого продукт не работает: вход, оплата.
High — важный, часто используемый функционал.
Medium — второстепенный функционал.
Low — редкие сценарии, косметика.
Не путай с приоритетом бага: здесь важность проверки, а не срочность исправления.</t>
        </r>
      </text>
    </comment>
    <comment ref="E1" authorId="0">
      <text>
        <r>
          <rPr>
            <sz val="10"/>
            <rFont val="Arial"/>
            <family val="2"/>
          </rPr>
          <t xml:space="preserve">Состояние системы, которое должно быть ДО первого шага. Не то, что проверяешь, а то, что уже готово.
Примеры: пользователь зарегистрирован и авторизован под ролью «Покупатель»; в корзине один товар в наличии; включён фича-флаг новой оплаты.
Правило: всё, без чего кейс не пройдёт, но что не является самим действием. Нумеруй, если пунктов несколько.</t>
        </r>
      </text>
    </comment>
    <comment ref="F1" authorId="0">
      <text>
        <r>
          <rPr>
            <sz val="10"/>
            <rFont val="Arial"/>
            <family val="2"/>
          </rPr>
          <t xml:space="preserve">Конкретные значения, которые вводишь при прогоне. Вынесены в отдельное поле, чтобы кейс можно было перезапустить с другими данными, не переписывая шаги.
Примеры: email test@mail.ru, пароль Qwerty123, промокод SALE10.
Для негативных кейсов здесь лежат невалидные значения: abc в поле телефона, 17 в поле возраста 18–60.</t>
        </r>
      </text>
    </comment>
    <comment ref="G1" authorId="0">
      <text>
        <r>
          <rPr>
            <sz val="10"/>
            <rFont val="Arial"/>
            <family val="2"/>
          </rPr>
          <t xml:space="preserve">Нумерованная последовательность действий. Каждый шаг атомарный — одно действие.
Не «залогиниться», а:
1. Ввести test@mail.ru в поле «Email»
2. Ввести Qwerty123 в поле «Пароль»
3. Нажать кнопку «Войти»
Повелительное наклонение: Ввести, Нажать, Выбрать, Открыть. Названия элементов в кавычках — ровно как в интерфейсе.
Кейс должен пройти человек, впервые видящий продукт.</t>
        </r>
      </text>
    </comment>
    <comment ref="H1" authorId="0">
      <text>
        <r>
          <rPr>
            <sz val="10"/>
            <rFont val="Arial"/>
            <family val="2"/>
          </rPr>
          <t xml:space="preserve">Что должно произойти, если всё работает правильно.
ГЛАВНОЕ ПРАВИЛО: пишется ДО прогона, по требованиям, и никогда не подгоняется под то, что получилось.
Формулируй проверяемо. Не «всё работает», а «выполнен переход в личный кабинет, в шапке отображается email пользователя».
Если есть требование — укажи пункт (AC-3). Это защита от спора «так задумано».</t>
        </r>
      </text>
    </comment>
    <comment ref="I1" authorId="0">
      <text>
        <r>
          <rPr>
            <sz val="10"/>
            <rFont val="Arial"/>
            <family val="2"/>
          </rPr>
          <t xml:space="preserve">Что произошло на самом деле. Заполняется только при прогоне и только если кейс упал. Если всё совпало с ожидаемым — достаточно статуса Passed.
При падении опиши конкретно: что на экране, текст ошибки, что в консоли браузера, код ответа сервера.
Из этого поля потом вырастает баг-репорт.</t>
        </r>
      </text>
    </comment>
    <comment ref="J1" authorId="0">
      <text>
        <r>
          <rPr>
            <sz val="10"/>
            <rFont val="Arial"/>
            <family val="2"/>
          </rPr>
          <t xml:space="preserve">Результат последнего прогона. Выпадающий список.
Not Run — ещё не выполнялся.
Passed — фактический совпал с ожидаемым.
Failed — не совпал, заводим баг.
Blocked — выполнить невозможно из-за другой проблемы: упал стенд, сломан предыдущий шаг флоу.
Skipped — сознательно пропущен, например функциональность вне скоупа релиза.
Не путай: Failed — ты проверил и нашёл баг. Blocked — ты даже не смог проверить.</t>
        </r>
      </text>
    </comment>
    <comment ref="K1" authorId="0">
      <text>
        <r>
          <rPr>
            <sz val="10"/>
            <rFont val="Arial"/>
            <family val="2"/>
          </rPr>
          <t xml:space="preserve">Кто написал кейс. Нужен, чтобы знать, к кому идти с вопросами по логике проверки.
В командах часто добавляют отдельное поле «Исполнитель» — кто прогонял последним. Автор и исполнитель — обычно разные люди.</t>
        </r>
      </text>
    </comment>
    <comment ref="L1" authorId="0">
      <text>
        <r>
          <rPr>
            <sz val="10"/>
            <rFont val="Arial"/>
            <family val="2"/>
          </rPr>
          <t xml:space="preserve">Дата создания или последнего изменения кейса.
Помогает находить устаревшие кейсы: если функциональность переделали полгода назад, а кейс не трогали год — его пора пересмотреть.
Формат ГГГГ-ММ-ДД удобен тем, что правильно сортируется.</t>
        </r>
      </text>
    </comment>
    <comment ref="M1" authorId="0">
      <text>
        <r>
          <rPr>
            <sz val="10"/>
            <rFont val="Arial"/>
            <family val="2"/>
          </rPr>
          <t xml:space="preserve">Всё, что не влезло в остальные поля: номер связанного бага, ссылка на требование, пометка «негативный» или «граничное значение», причина статуса Blocked.
Не превращай поле в свалку. Если здесь оказываются шаги или ожидаемый результат — кейс оформлен неправильно.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Сколько кейсов в наборе. Считает заполненные ID, начиная с третьей строки листа «Тест-кейсы».</t>
        </r>
      </text>
    </comment>
    <comment ref="A3" authorId="0">
      <text>
        <r>
          <rPr>
            <sz val="10"/>
            <rFont val="Arial"/>
            <family val="2"/>
          </rPr>
          <t xml:space="preserve">Сколько кейсов прошли успешно: фактический результат совпал с ожидаемым.</t>
        </r>
      </text>
    </comment>
    <comment ref="A4" authorId="0">
      <text>
        <r>
          <rPr>
            <sz val="10"/>
            <rFont val="Arial"/>
            <family val="2"/>
          </rPr>
          <t xml:space="preserve">Сколько кейсов упали. На каждый Failed должен быть заведён баг — его номер пиши в колонку «Комментарий».</t>
        </r>
      </text>
    </comment>
    <comment ref="A5" authorId="0">
      <text>
        <r>
          <rPr>
            <sz val="10"/>
            <rFont val="Arial"/>
            <family val="2"/>
          </rPr>
          <t xml:space="preserve">Сколько кейсов невозможно выполнить из-за другой проблемы. Большое число Blocked — сигнал, что тестирование пора приостанавливать (см. критерии приостановки в тест-плане).</t>
        </r>
      </text>
    </comment>
    <comment ref="A6" authorId="0">
      <text>
        <r>
          <rPr>
            <sz val="10"/>
            <rFont val="Arial"/>
            <family val="2"/>
          </rPr>
          <t xml:space="preserve">Сколько кейсов сознательно пропущено. Причина пропуска должна быть в комментарии или в разделе out of scope тест-плана.</t>
        </r>
      </text>
    </comment>
    <comment ref="A7" authorId="0">
      <text>
        <r>
          <rPr>
            <sz val="10"/>
            <rFont val="Arial"/>
            <family val="2"/>
          </rPr>
          <t xml:space="preserve">Сколько ещё не выполнено. К концу тестирования должно быть ноль — или объяснено в отчёте, почему нет.</t>
        </r>
      </text>
    </comment>
    <comment ref="A8" authorId="0">
      <text>
        <r>
          <rPr>
            <sz val="10"/>
            <rFont val="Arial"/>
            <family val="2"/>
          </rPr>
          <t xml:space="preserve">Доля выполненных кейсов: Passed + Failed от общего числа. Показывает, сколько работы сделано, а НЕ насколько хорош продукт. 100% прогресса при половине Failed — это законченное тестирование плохой сборки.</t>
        </r>
      </text>
    </comment>
  </commentList>
</comments>
</file>

<file path=xl/sharedStrings.xml><?xml version="1.0" encoding="utf-8"?>
<sst xmlns="http://schemas.openxmlformats.org/spreadsheetml/2006/main" count="84" uniqueCount="73">
  <si>
    <t xml:space="preserve">ID</t>
  </si>
  <si>
    <t xml:space="preserve">Модуль</t>
  </si>
  <si>
    <t xml:space="preserve">Заголовок</t>
  </si>
  <si>
    <t xml:space="preserve">Приоритет</t>
  </si>
  <si>
    <t xml:space="preserve">Предусловия</t>
  </si>
  <si>
    <t xml:space="preserve">Тестовые данные</t>
  </si>
  <si>
    <t xml:space="preserve">Шаги</t>
  </si>
  <si>
    <t xml:space="preserve">Ожидаемый результат</t>
  </si>
  <si>
    <t xml:space="preserve">Фактический результат</t>
  </si>
  <si>
    <t xml:space="preserve">Статус</t>
  </si>
  <si>
    <t xml:space="preserve">Автор</t>
  </si>
  <si>
    <t xml:space="preserve">Дата</t>
  </si>
  <si>
    <t xml:space="preserve">Комментарий</t>
  </si>
  <si>
    <t xml:space="preserve">Уникальный идентификатор кейса. По нему на кейс ссылаются из баг-репортов, отчётов и матрицы покрытия, поэтому ID никогда не меняют и не переиспользуют — даже если кейс удалён.
Формат: префикс + номер, TC-001. Можно добавить модуль: AUTH-001, CART-014 — тогда сразу видно, к чему относится кейс.</t>
  </si>
  <si>
    <t xml:space="preserve">Часть продукта, к которой относится проверка: Авторизация, Корзина, Оформление заказа.
Нужен для фильтрации: когда затронули оплату, ты за секунду отбираешь все кейсы модуля «Оплата» для targeted-регресса.
Держи список модулей единым для всей команды. «Корзина» и «корзина» Excel считает разными значениями — фильтр развалится.</t>
  </si>
  <si>
    <t xml:space="preserve">Суть проверки одной строкой. По нему должно быть понятно, что проверяет кейс, не открывая шаги.
Формула: ДЕЙСТВИЕ + УСЛОВИЕ. «Вход с неверным паролем», «Оформление заказа с пустым полем Телефон».
Плохо: «Проверка авторизации» — непонятно, какой сценарий. Плохо: «Тест 1».
Один заголовок — одна проверка.</t>
  </si>
  <si>
    <t xml:space="preserve">Насколько важно выполнить кейс. Определяет порядок прогона, когда времени мало.
Critical — без этого продукт не работает: вход, оплата.
High — важный, часто используемый функционал.
Medium — второстепенный функционал.
Low — редкие сценарии, косметика.
Не путай с приоритетом бага: здесь важность проверки, а не срочность исправления.</t>
  </si>
  <si>
    <t xml:space="preserve">Состояние системы, которое должно быть ДО первого шага. Не то, что проверяешь, а то, что уже готово.
Примеры: пользователь зарегистрирован и авторизован под ролью «Покупатель»; в корзине один товар в наличии; включён фича-флаг новой оплаты.
Правило: всё, без чего кейс не пройдёт, но что не является самим действием. Нумеруй, если пунктов несколько.</t>
  </si>
  <si>
    <t xml:space="preserve">Конкретные значения, которые вводишь при прогоне. Вынесены в отдельное поле, чтобы кейс можно было перезапустить с другими данными, не переписывая шаги.
Примеры: email test@mail.ru, пароль Qwerty123, промокод SALE10.
Для негативных кейсов здесь лежат невалидные значения: abc в поле телефона, 17 в поле возраста 18–60.</t>
  </si>
  <si>
    <t xml:space="preserve">Нумерованная последовательность действий. Каждый шаг атомарный — одно действие.
Не «залогиниться», а:
1. Ввести test@mail.ru в поле «Email»
2. Ввести Qwerty123 в поле «Пароль»
3. Нажать кнопку «Войти»
Повелительное наклонение: Ввести, Нажать, Выбрать, Открыть. Названия элементов в кавычках — ровно как в интерфейсе.
Кейс должен пройти человек, впервые видящий продукт.</t>
  </si>
  <si>
    <t xml:space="preserve">Что должно произойти, если всё работает правильно.
ГЛАВНОЕ ПРАВИЛО: пишется ДО прогона, по требованиям, и никогда не подгоняется под то, что получилось.
Формулируй проверяемо. Не «всё работает», а «выполнен переход в личный кабинет, в шапке отображается email пользователя».
Если есть требование — укажи пункт (AC-3). Это защита от спора «так задумано».</t>
  </si>
  <si>
    <t xml:space="preserve">Что произошло на самом деле. Заполняется только при прогоне и только если кейс упал. Если всё совпало с ожидаемым — достаточно статуса Passed.
При падении опиши конкретно: что на экране, текст ошибки, что в консоли браузера, код ответа сервера.
Из этого поля потом вырастает баг-репорт.</t>
  </si>
  <si>
    <t xml:space="preserve">Результат последнего прогона. Выпадающий список.
Not Run — ещё не выполнялся.
Passed — фактический совпал с ожидаемым.
Failed — не совпал, заводим баг.
Blocked — выполнить невозможно из-за другой проблемы: упал стенд, сломан предыдущий шаг флоу.
Skipped — сознательно пропущен, например функциональность вне скоупа релиза.
Не путай: Failed — ты проверил и нашёл баг. Blocked — ты даже не смог проверить.</t>
  </si>
  <si>
    <t xml:space="preserve">Кто написал кейс. Нужен, чтобы знать, к кому идти с вопросами по логике проверки.
В командах часто добавляют отдельное поле «Исполнитель» — кто прогонял последним. Автор и исполнитель — обычно разные люди.</t>
  </si>
  <si>
    <t xml:space="preserve">Дата создания или последнего изменения кейса.
Помогает находить устаревшие кейсы: если функциональность переделали полгода назад, а кейс не трогали год — его пора пересмотреть.
Формат ГГГГ-ММ-ДД удобен тем, что правильно сортируется.</t>
  </si>
  <si>
    <t xml:space="preserve">Всё, что не влезло в остальные поля: номер связанного бага, ссылка на требование, пометка «негативный» или «граничное значение», причина статуса Blocked.
Не превращай поле в свалку. Если здесь оказываются шаги или ожидаемый результат — кейс оформлен неправильно.</t>
  </si>
  <si>
    <t xml:space="preserve">TC-001</t>
  </si>
  <si>
    <t xml:space="preserve">Авторизация</t>
  </si>
  <si>
    <t xml:space="preserve">Вход с валидными логином и паролем</t>
  </si>
  <si>
    <t xml:space="preserve">High</t>
  </si>
  <si>
    <t xml:space="preserve">1. Пользователь зарегистрирован
2. Открыта страница /login</t>
  </si>
  <si>
    <t xml:space="preserve">email: test@mail.ru
пароль: Qwerty123</t>
  </si>
  <si>
    <t xml:space="preserve">1. Ввести email в поле «Email»
2. Ввести пароль в поле «Пароль»
3. Нажать кнопку «Войти»</t>
  </si>
  <si>
    <t xml:space="preserve">Выполнен переход в личный кабинет, в шапке отображается email пользователя</t>
  </si>
  <si>
    <t xml:space="preserve">Not Run</t>
  </si>
  <si>
    <t xml:space="preserve">Иванов И.</t>
  </si>
  <si>
    <t xml:space="preserve">2026-09-25</t>
  </si>
  <si>
    <t xml:space="preserve">TC-002</t>
  </si>
  <si>
    <t xml:space="preserve">Вход с неверным паролем</t>
  </si>
  <si>
    <t xml:space="preserve">email: test@mail.ru
пароль: WrongPass1</t>
  </si>
  <si>
    <t xml:space="preserve">1. Ввести email в поле «Email»
2. Ввести неверный пароль
3. Нажать кнопку «Войти»</t>
  </si>
  <si>
    <t xml:space="preserve">Под формой сообщение «Неверный email или пароль», переход не выполнен</t>
  </si>
  <si>
    <t xml:space="preserve">Негативный</t>
  </si>
  <si>
    <t xml:space="preserve">TC-003</t>
  </si>
  <si>
    <t xml:space="preserve">Оформление заказа</t>
  </si>
  <si>
    <t xml:space="preserve">Оформление заказа с пустым полем «Телефон»</t>
  </si>
  <si>
    <t xml:space="preserve">Medium</t>
  </si>
  <si>
    <t xml:space="preserve">1. Пользователь авторизован
2. В корзине 1 товар
3. Открыта страница оформления</t>
  </si>
  <si>
    <t xml:space="preserve">поле «Телефон»: пусто</t>
  </si>
  <si>
    <t xml:space="preserve">1. Оставить поле «Телефон» пустым
2. Нажать кнопку «Оформить заказ»</t>
  </si>
  <si>
    <t xml:space="preserve">Под полем сообщение «Укажите номер телефона», заказ не создан (AC-5)</t>
  </si>
  <si>
    <t xml:space="preserve">Показатель</t>
  </si>
  <si>
    <t xml:space="preserve">Значение</t>
  </si>
  <si>
    <t xml:space="preserve">Всего кейсов</t>
  </si>
  <si>
    <t xml:space="preserve">Passed</t>
  </si>
  <si>
    <t xml:space="preserve">Failed</t>
  </si>
  <si>
    <t xml:space="preserve">Blocked</t>
  </si>
  <si>
    <t xml:space="preserve">Skipped</t>
  </si>
  <si>
    <t xml:space="preserve">Прогресс прохождения</t>
  </si>
  <si>
    <t xml:space="preserve">Как показать и скрыть подсказки</t>
  </si>
  <si>
    <t xml:space="preserve">Способ 1. Слева от строки заголовков есть кнопка [+]. Нажми её — под заголовками раскроется строка с подробной подсказкой к каждой колонке. Кнопка [−] сворачивает строку обратно.</t>
  </si>
  <si>
    <t xml:space="preserve">Если кнопку не видно: вкладка «Данные» → группа «Структура» → «Показать детали». Или кнопки уровней 1 и 2 в левом верхнем углу листа.</t>
  </si>
  <si>
    <t xml:space="preserve">Способ 2. Наведи курсор на заголовок любой колонки — всплывёт та же подсказка. Показать все сразу: вкладка «Рецензирование» → «Показать все примечания».</t>
  </si>
  <si>
    <t xml:space="preserve">Подсказки не мешают фильтрам и формулам: данные начинаются с третьей строки.</t>
  </si>
  <si>
    <t xml:space="preserve">Как заполнять шаблон</t>
  </si>
  <si>
    <t xml:space="preserve">Строки 3–5 на листе «Тест-кейсы» — примеры, подсвечены голубым. Удали их перед работой.</t>
  </si>
  <si>
    <t xml:space="preserve">Пять правил, по которым видно уровень автора кейсов</t>
  </si>
  <si>
    <t xml:space="preserve">1. Ожидаемый результат пишется ДО прогона. Не подгоняется под то, что получилось.</t>
  </si>
  <si>
    <t xml:space="preserve">2. Один кейс — одна проверка. Упадёт — сразу понятно, что именно сломалось.</t>
  </si>
  <si>
    <t xml:space="preserve">3. Шаги атомарны. Не «залогиниться», а «Ввести test@mail.ru в поле Email».</t>
  </si>
  <si>
    <t xml:space="preserve">4. Кейс не зависит от других кейсов. Иначе падение одного роняет всю цепочку.</t>
  </si>
  <si>
    <t xml:space="preserve">5. Кейс должен пройти человек, впервые видящий продукт.</t>
  </si>
  <si>
    <t xml:space="preserve">Лист «Сводка» считает статистику автоматически по колонке «Статус». Наведи курсор на название показателя — всплывёт объяснение.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</si>
</sst>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9"/>
      <color rgb="FF1F5C8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3FA"/>
        <bgColor rgb="FFEAF1F8"/>
      </patternFill>
    </fill>
    <fill>
      <patternFill patternType="solid">
        <fgColor rgb="FFEAF1F8"/>
        <bgColor rgb="FFEAF3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EAF3FA"/>
      <rgbColor rgb="FF660066"/>
      <rgbColor rgb="FFFF8080"/>
      <rgbColor rgb="FF1F5C8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1"/>
    <pageSetUpPr fitToPage="false"/>
  </sheetPr>
  <dimension ref="A1:M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7" min="7" style="0" width="46"/>
    <col collapsed="false" customWidth="true" hidden="false" outlineLevel="0" max="8" min="8" style="0" width="40"/>
    <col collapsed="false" customWidth="true" hidden="false" outlineLevel="0" max="9" min="9" style="0" width="34"/>
    <col collapsed="false" customWidth="true" hidden="false" outlineLevel="0" max="11" min="10" style="0" width="16"/>
    <col collapsed="false" customWidth="true" hidden="false" outlineLevel="0" max="12" min="12" style="0" width="14"/>
    <col collapsed="false" customWidth="true" hidden="false" outlineLevel="0" max="13" min="13" style="0" width="26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343.5" hidden="true" customHeight="true" outlineLevel="1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customFormat="false" ht="72" hidden="false" customHeight="tru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/>
      <c r="J3" s="3" t="s">
        <v>34</v>
      </c>
      <c r="K3" s="3" t="s">
        <v>35</v>
      </c>
      <c r="L3" s="3" t="s">
        <v>36</v>
      </c>
      <c r="M3" s="3"/>
    </row>
    <row r="4" customFormat="false" ht="72" hidden="false" customHeight="true" outlineLevel="0" collapsed="false">
      <c r="A4" s="3" t="s">
        <v>37</v>
      </c>
      <c r="B4" s="3" t="s">
        <v>27</v>
      </c>
      <c r="C4" s="3" t="s">
        <v>38</v>
      </c>
      <c r="D4" s="3" t="s">
        <v>29</v>
      </c>
      <c r="E4" s="3" t="s">
        <v>30</v>
      </c>
      <c r="F4" s="3" t="s">
        <v>39</v>
      </c>
      <c r="G4" s="3" t="s">
        <v>40</v>
      </c>
      <c r="H4" s="3" t="s">
        <v>41</v>
      </c>
      <c r="I4" s="3"/>
      <c r="J4" s="3" t="s">
        <v>34</v>
      </c>
      <c r="K4" s="3" t="s">
        <v>35</v>
      </c>
      <c r="L4" s="3" t="s">
        <v>36</v>
      </c>
      <c r="M4" s="3" t="s">
        <v>42</v>
      </c>
    </row>
    <row r="5" customFormat="false" ht="72" hidden="false" customHeight="true" outlineLevel="0" collapsed="false">
      <c r="A5" s="3" t="s">
        <v>43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49</v>
      </c>
      <c r="H5" s="3" t="s">
        <v>50</v>
      </c>
      <c r="I5" s="3"/>
      <c r="J5" s="3" t="s">
        <v>34</v>
      </c>
      <c r="K5" s="3" t="s">
        <v>35</v>
      </c>
      <c r="L5" s="3" t="s">
        <v>36</v>
      </c>
      <c r="M5" s="3" t="s">
        <v>42</v>
      </c>
    </row>
    <row r="6" customFormat="false" ht="57.7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57.7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57.7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57.7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57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57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57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57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57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customFormat="false" ht="57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57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57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customFormat="false" ht="57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customFormat="false" ht="57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customFormat="false" ht="57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customFormat="false" ht="57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customFormat="false" ht="57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customFormat="false" ht="57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customFormat="false" ht="57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customFormat="false" ht="57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customFormat="false" ht="57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customFormat="false" ht="57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customFormat="false" ht="57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customFormat="false" ht="57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customFormat="false" ht="57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customFormat="false" ht="57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customFormat="false" ht="57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customFormat="false" ht="57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customFormat="false" ht="57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customFormat="false" ht="57.7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customFormat="false" ht="57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customFormat="false" ht="57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Format="false" ht="57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customFormat="false" ht="57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customFormat="false" ht="57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customFormat="false" ht="57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customFormat="false" ht="57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customFormat="false" ht="57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customFormat="false" ht="57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customFormat="false" ht="57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customFormat="false" ht="57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customFormat="false" ht="57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customFormat="false" ht="57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customFormat="false" ht="57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customFormat="false" ht="57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customFormat="false" ht="57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customFormat="false" ht="57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customFormat="false" ht="57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customFormat="false" ht="57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customFormat="false" ht="57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customFormat="false" ht="57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customFormat="false" ht="57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customFormat="false" ht="57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customFormat="false" ht="57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customFormat="false" ht="57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customFormat="false" ht="57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customFormat="false" ht="57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</sheetData>
  <dataValidations count="2">
    <dataValidation allowBlank="true" errorStyle="stop" operator="between" showDropDown="false" showErrorMessage="false" showInputMessage="false" sqref="J3:J300" type="list">
      <formula1>"Not Run,Passed,Failed,Blocked,Skipped"</formula1>
      <formula2>0</formula2>
    </dataValidation>
    <dataValidation allowBlank="true" errorStyle="stop" operator="between" showDropDown="false" showErrorMessage="false" showInputMessage="false" sqref="D3:D300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51</v>
      </c>
      <c r="B1" s="1" t="s">
        <v>52</v>
      </c>
    </row>
    <row r="2" customFormat="false" ht="15" hidden="false" customHeight="false" outlineLevel="0" collapsed="false">
      <c r="A2" s="5" t="s">
        <v>53</v>
      </c>
      <c r="B2" s="6" t="n">
        <f aca="false">COUNTA('Тест-кейсы'!A3:A300)</f>
        <v>3</v>
      </c>
    </row>
    <row r="3" customFormat="false" ht="15" hidden="false" customHeight="false" outlineLevel="0" collapsed="false">
      <c r="A3" s="5" t="s">
        <v>54</v>
      </c>
      <c r="B3" s="6" t="n">
        <f aca="false">COUNTIF('Тест-кейсы'!J3:J300,"Passed")</f>
        <v>0</v>
      </c>
    </row>
    <row r="4" customFormat="false" ht="15" hidden="false" customHeight="false" outlineLevel="0" collapsed="false">
      <c r="A4" s="5" t="s">
        <v>55</v>
      </c>
      <c r="B4" s="6" t="n">
        <f aca="false">COUNTIF('Тест-кейсы'!J3:J300,"Failed")</f>
        <v>0</v>
      </c>
    </row>
    <row r="5" customFormat="false" ht="15" hidden="false" customHeight="false" outlineLevel="0" collapsed="false">
      <c r="A5" s="5" t="s">
        <v>56</v>
      </c>
      <c r="B5" s="6" t="n">
        <f aca="false">COUNTIF('Тест-кейсы'!J3:J300,"Blocked")</f>
        <v>0</v>
      </c>
    </row>
    <row r="6" customFormat="false" ht="15" hidden="false" customHeight="false" outlineLevel="0" collapsed="false">
      <c r="A6" s="5" t="s">
        <v>57</v>
      </c>
      <c r="B6" s="6" t="n">
        <f aca="false">COUNTIF('Тест-кейсы'!J3:J300,"Skipped")</f>
        <v>0</v>
      </c>
    </row>
    <row r="7" customFormat="false" ht="15" hidden="false" customHeight="false" outlineLevel="0" collapsed="false">
      <c r="A7" s="5" t="s">
        <v>34</v>
      </c>
      <c r="B7" s="6" t="n">
        <f aca="false">COUNTIF('Тест-кейсы'!J3:J300,"Not Run")</f>
        <v>3</v>
      </c>
    </row>
    <row r="8" customFormat="false" ht="15" hidden="false" customHeight="false" outlineLevel="0" collapsed="false">
      <c r="A8" s="5" t="s">
        <v>58</v>
      </c>
      <c r="B8" s="7" t="n">
        <f aca="false">IFERROR((B3+B4)/B2,0)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5"/>
  </cols>
  <sheetData>
    <row r="1" customFormat="false" ht="15" hidden="false" customHeight="false" outlineLevel="0" collapsed="false">
      <c r="B1" s="8" t="s">
        <v>59</v>
      </c>
    </row>
    <row r="2" customFormat="false" ht="23.85" hidden="false" customHeight="false" outlineLevel="0" collapsed="false">
      <c r="B2" s="9" t="s">
        <v>60</v>
      </c>
    </row>
    <row r="3" customFormat="false" ht="23.85" hidden="false" customHeight="false" outlineLevel="0" collapsed="false">
      <c r="B3" s="9" t="s">
        <v>61</v>
      </c>
    </row>
    <row r="4" customFormat="false" ht="23.85" hidden="false" customHeight="false" outlineLevel="0" collapsed="false">
      <c r="B4" s="9" t="s">
        <v>62</v>
      </c>
    </row>
    <row r="5" customFormat="false" ht="15" hidden="false" customHeight="false" outlineLevel="0" collapsed="false">
      <c r="B5" s="9" t="s">
        <v>63</v>
      </c>
    </row>
    <row r="6" customFormat="false" ht="15" hidden="false" customHeight="false" outlineLevel="0" collapsed="false">
      <c r="B6" s="9"/>
    </row>
    <row r="7" customFormat="false" ht="15" hidden="false" customHeight="false" outlineLevel="0" collapsed="false">
      <c r="B7" s="8" t="s">
        <v>64</v>
      </c>
    </row>
    <row r="8" customFormat="false" ht="15" hidden="false" customHeight="false" outlineLevel="0" collapsed="false">
      <c r="B8" s="9" t="s">
        <v>65</v>
      </c>
    </row>
    <row r="9" customFormat="false" ht="15" hidden="false" customHeight="false" outlineLevel="0" collapsed="false">
      <c r="B9" s="9"/>
    </row>
    <row r="10" customFormat="false" ht="15" hidden="false" customHeight="false" outlineLevel="0" collapsed="false">
      <c r="B10" s="8" t="s">
        <v>66</v>
      </c>
    </row>
    <row r="11" customFormat="false" ht="15" hidden="false" customHeight="false" outlineLevel="0" collapsed="false">
      <c r="B11" s="9" t="s">
        <v>67</v>
      </c>
    </row>
    <row r="12" customFormat="false" ht="15" hidden="false" customHeight="false" outlineLevel="0" collapsed="false">
      <c r="B12" s="9" t="s">
        <v>68</v>
      </c>
    </row>
    <row r="13" customFormat="false" ht="15" hidden="false" customHeight="false" outlineLevel="0" collapsed="false">
      <c r="B13" s="9" t="s">
        <v>69</v>
      </c>
    </row>
    <row r="14" customFormat="false" ht="15" hidden="false" customHeight="false" outlineLevel="0" collapsed="false">
      <c r="B14" s="9" t="s">
        <v>70</v>
      </c>
    </row>
    <row r="15" customFormat="false" ht="15" hidden="false" customHeight="false" outlineLevel="0" collapsed="false">
      <c r="B15" s="9" t="s">
        <v>71</v>
      </c>
    </row>
    <row r="16" customFormat="false" ht="15" hidden="false" customHeight="false" outlineLevel="0" collapsed="false">
      <c r="B16" s="9"/>
    </row>
    <row r="17" customFormat="false" ht="23.85" hidden="false" customHeight="false" outlineLevel="0" collapsed="false">
      <c r="B17" s="9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2026-09-25T13:33:08Z</dcterms:created>
  <dc:creator>openpyxl</dc:creator>
  <dc:description/>
  <dc:language>en-US</dc:language>
  <cp:lastModifiedBy/>
  <dcterms:modified xsi:type="dcterms:W3CDTF">2026-09-25T13:33:08Z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